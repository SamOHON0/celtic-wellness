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<sst xmlns="http://schemas.openxmlformats.org/spreadsheetml/2006/main" count="63" uniqueCount="60">
  <si>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Product</t>
  </si>
  <si>
    <t xml:space="preserve">Woo ID</t>
  </si>
  <si>
    <t xml:space="preserve">Current €</t>
  </si>
  <si>
    <t xml:space="preserve">Recommended €</t>
  </si>
  <si>
    <t xml:space="preserve">Change %</t>
  </si>
  <si>
    <t xml:space="preserve">Market benchmark</t>
  </si>
  <si>
    <t xml:space="preserve">Rationale</t>
  </si>
  <si>
    <t xml:space="preserve">Magnesium 12-In-1 Complex</t>
  </si>
  <si>
    <t xml:space="preserve">Revive Active Mg Complex 60s €24.95 (Boots.ie); Cleanmarine €20.99</t>
  </si>
  <si>
    <t xml:space="preserve">€50 is 2x the Irish market ceiling for magnesium. Reprice to compete.</t>
  </si>
  <si>
    <t xml:space="preserve">Shilajit Drops 50ml</t>
  </si>
  <si>
    <t xml:space="preserve">Black Mamba Shilajit Resin Dry Drops €49.99 (MyCore)</t>
  </si>
  <si>
    <t xml:space="preserve">Drops are a premium format but €50 has no headroom vs resin. Sits under drops competitor.</t>
  </si>
  <si>
    <t xml:space="preserve">Shilajit Honey Sticks - Strawberry</t>
  </si>
  <si>
    <t xml:space="preserve">No direct Irish comparator; priced vs gummies/capsules €20-30</t>
  </si>
  <si>
    <t xml:space="preserve">Novelty format, impulse price point. €50 kills trial purchases.</t>
  </si>
  <si>
    <t xml:space="preserve">Shilajit Honey Sticks - Classic</t>
  </si>
  <si>
    <t xml:space="preserve">Same as strawberry</t>
  </si>
  <si>
    <t xml:space="preserve">Same logic.</t>
  </si>
  <si>
    <t xml:space="preserve">4 Flavor Electrolytes Pack</t>
  </si>
  <si>
    <t xml:space="preserve">Puresport Ultra Electrolytes 15 sachets €25 (Holland &amp; Barrett IE)</t>
  </si>
  <si>
    <t xml:space="preserve">Verify sachet count; at ~30 sachets €29.95 is on par per-serving.</t>
  </si>
  <si>
    <t xml:space="preserve">Shilajit Gummies - Tamarind</t>
  </si>
  <si>
    <t xml:space="preserve">Shilajit capsules market €19.99-29.99 (MyCore, One Nutrition)</t>
  </si>
  <si>
    <t xml:space="preserve">Gummies carry small premium over capsules, not 65%.</t>
  </si>
  <si>
    <t xml:space="preserve">Perfect Amino - Mocha (60 srv)</t>
  </si>
  <si>
    <t xml:space="preserve">BodyHealth PerfectAmino RRP typically €75+ for 60 servings</t>
  </si>
  <si>
    <t xml:space="preserve">If genuine BodyHealth stock, €50 is likely UNDERpriced. Verify wholesale cost first.</t>
  </si>
  <si>
    <t xml:space="preserve">Perfect Amino - Lemonade (60 srv)</t>
  </si>
  <si>
    <t xml:space="preserve">Same</t>
  </si>
  <si>
    <t xml:space="preserve">Same. Confirm brand authenticity and cost before moving.</t>
  </si>
  <si>
    <t xml:space="preserve">Perfect Amino - Mixed Berry (60 srv)</t>
  </si>
  <si>
    <t xml:space="preserve">Same.</t>
  </si>
  <si>
    <t xml:space="preserve">Perfect Amino - Strawberry (60 srv)</t>
  </si>
  <si>
    <t xml:space="preserve">Pure Himalayan Shilajit Gummies</t>
  </si>
  <si>
    <t xml:space="preserve">As tamarind gummies</t>
  </si>
  <si>
    <t xml:space="preserve">Also out of stock. Restock or hide; OOS product with €50 tag hurts trust.</t>
  </si>
  <si>
    <t xml:space="preserve">Shilajit Capsules</t>
  </si>
  <si>
    <t xml:space="preserve">Feel Supreme €29.95, One Nutrition €29.99, Black Mamba €19.99</t>
  </si>
  <si>
    <t xml:space="preserve">Top of market range but not above it.</t>
  </si>
  <si>
    <t xml:space="preserve">Liposomal NAD+ 60 caps</t>
  </si>
  <si>
    <t xml:space="preserve">NMN/NAD boosters €20-35 (Naturecan, QRP, Bettervits)</t>
  </si>
  <si>
    <t xml:space="preserve">Liposomal justifies premium over NMN but €55 is out of range.</t>
  </si>
  <si>
    <t xml:space="preserve">NMN 60 Capsules</t>
  </si>
  <si>
    <t xml:space="preserve">Naturecan NMN €29.99; QRP 500mg 60 caps similar</t>
  </si>
  <si>
    <t xml:space="preserve">Match market leader.</t>
  </si>
  <si>
    <t xml:space="preserve">ISO 110 Whey Isolate 2.3kg</t>
  </si>
  <si>
    <t xml:space="preserve">Hydrolysed isolate 2.2kg typically €85-110</t>
  </si>
  <si>
    <t xml:space="preserve">Keep. In line for hydrolysed isolate.</t>
  </si>
  <si>
    <t xml:space="preserve">Organic Shilajit by Sliabh 50g</t>
  </si>
  <si>
    <t xml:space="preserve">Feel Supreme Altai 50g €54.95</t>
  </si>
  <si>
    <t xml:space="preserve">Keep. Competitive.</t>
  </si>
  <si>
    <t xml:space="preserve">Sliabh Shilajit Resin 30g</t>
  </si>
  <si>
    <t xml:space="preserve">Kiki Health 30g resin ~€38-40 (Nourish/Organico)</t>
  </si>
  <si>
    <t xml:space="preserve">Optional trim to match the Kiki anchor; low priority.</t>
  </si>
  <si>
    <t xml:space="preserve">Notes</t>
  </si>
  <si>
    <t xml:space="preserve">- Recommended prices are hardcoded inputs (edit column D). Change % recalculates.</t>
  </si>
  <si>
    <t xml:space="preserve">- Benchmarks gathered 28 Jul 2026 from Boots.ie, MyCore Supplements, Holland &amp; Barrett IE, Naturecan IE, Nourish.ie search results.</t>
  </si>
  <si>
    <t xml:space="preserve">- Perfect Amino rows: confirm the product is genuine BodyHealth and check landed cost before repricing upward.</t>
  </si>
  <si>
    <t xml:space="preserve">- All .95 endings intentional. Consider a shilajit bundle (resin + capsules + gummies) at €79.95 to lift AOV.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</si>
</sst>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0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F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F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48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n">
        <v>5575</v>
      </c>
      <c r="C2" s="3" t="n">
        <v>50</v>
      </c>
      <c r="D2" s="3" t="n">
        <v>24.95</v>
      </c>
      <c r="E2" s="4" t="n">
        <f aca="false">(D2-C2)/C2</f>
        <v>-0.501</v>
      </c>
      <c r="F2" s="5" t="s">
        <v>8</v>
      </c>
      <c r="G2" s="5" t="s">
        <v>9</v>
      </c>
    </row>
    <row r="3" customFormat="false" ht="23.85" hidden="false" customHeight="false" outlineLevel="0" collapsed="false">
      <c r="A3" s="2" t="s">
        <v>10</v>
      </c>
      <c r="B3" s="2" t="n">
        <v>5570</v>
      </c>
      <c r="C3" s="3" t="n">
        <v>50</v>
      </c>
      <c r="D3" s="3" t="n">
        <v>39.95</v>
      </c>
      <c r="E3" s="4" t="n">
        <f aca="false">(D3-C3)/C3</f>
        <v>-0.201</v>
      </c>
      <c r="F3" s="5" t="s">
        <v>11</v>
      </c>
      <c r="G3" s="5" t="s">
        <v>12</v>
      </c>
    </row>
    <row r="4" customFormat="false" ht="23.85" hidden="false" customHeight="false" outlineLevel="0" collapsed="false">
      <c r="A4" s="2" t="s">
        <v>13</v>
      </c>
      <c r="B4" s="2" t="n">
        <v>5553</v>
      </c>
      <c r="C4" s="3" t="n">
        <v>50</v>
      </c>
      <c r="D4" s="3" t="n">
        <v>24.95</v>
      </c>
      <c r="E4" s="4" t="n">
        <f aca="false">(D4-C4)/C4</f>
        <v>-0.501</v>
      </c>
      <c r="F4" s="5" t="s">
        <v>14</v>
      </c>
      <c r="G4" s="5" t="s">
        <v>15</v>
      </c>
    </row>
    <row r="5" customFormat="false" ht="15" hidden="false" customHeight="false" outlineLevel="0" collapsed="false">
      <c r="A5" s="2" t="s">
        <v>16</v>
      </c>
      <c r="B5" s="2" t="n">
        <v>5550</v>
      </c>
      <c r="C5" s="3" t="n">
        <v>50</v>
      </c>
      <c r="D5" s="3" t="n">
        <v>24.95</v>
      </c>
      <c r="E5" s="4" t="n">
        <f aca="false">(D5-C5)/C5</f>
        <v>-0.501</v>
      </c>
      <c r="F5" s="5" t="s">
        <v>17</v>
      </c>
      <c r="G5" s="5" t="s">
        <v>18</v>
      </c>
    </row>
    <row r="6" customFormat="false" ht="23.85" hidden="false" customHeight="false" outlineLevel="0" collapsed="false">
      <c r="A6" s="2" t="s">
        <v>19</v>
      </c>
      <c r="B6" s="2" t="n">
        <v>5548</v>
      </c>
      <c r="C6" s="3" t="n">
        <v>50</v>
      </c>
      <c r="D6" s="3" t="n">
        <v>29.95</v>
      </c>
      <c r="E6" s="4" t="n">
        <f aca="false">(D6-C6)/C6</f>
        <v>-0.401</v>
      </c>
      <c r="F6" s="5" t="s">
        <v>20</v>
      </c>
      <c r="G6" s="5" t="s">
        <v>21</v>
      </c>
    </row>
    <row r="7" customFormat="false" ht="23.85" hidden="false" customHeight="false" outlineLevel="0" collapsed="false">
      <c r="A7" s="2" t="s">
        <v>22</v>
      </c>
      <c r="B7" s="2" t="n">
        <v>5545</v>
      </c>
      <c r="C7" s="3" t="n">
        <v>50</v>
      </c>
      <c r="D7" s="3" t="n">
        <v>29.95</v>
      </c>
      <c r="E7" s="4" t="n">
        <f aca="false">(D7-C7)/C7</f>
        <v>-0.401</v>
      </c>
      <c r="F7" s="5" t="s">
        <v>23</v>
      </c>
      <c r="G7" s="5" t="s">
        <v>24</v>
      </c>
    </row>
    <row r="8" customFormat="false" ht="23.85" hidden="false" customHeight="false" outlineLevel="0" collapsed="false">
      <c r="A8" s="2" t="s">
        <v>25</v>
      </c>
      <c r="B8" s="2" t="n">
        <v>5542</v>
      </c>
      <c r="C8" s="3" t="n">
        <v>50</v>
      </c>
      <c r="D8" s="3" t="n">
        <v>64.95</v>
      </c>
      <c r="E8" s="4" t="n">
        <f aca="false">(D8-C8)/C8</f>
        <v>0.299</v>
      </c>
      <c r="F8" s="5" t="s">
        <v>26</v>
      </c>
      <c r="G8" s="5" t="s">
        <v>27</v>
      </c>
    </row>
    <row r="9" customFormat="false" ht="15" hidden="false" customHeight="false" outlineLevel="0" collapsed="false">
      <c r="A9" s="2" t="s">
        <v>28</v>
      </c>
      <c r="B9" s="2" t="n">
        <v>5538</v>
      </c>
      <c r="C9" s="3" t="n">
        <v>50</v>
      </c>
      <c r="D9" s="3" t="n">
        <v>64.95</v>
      </c>
      <c r="E9" s="4" t="n">
        <f aca="false">(D9-C9)/C9</f>
        <v>0.299</v>
      </c>
      <c r="F9" s="5" t="s">
        <v>29</v>
      </c>
      <c r="G9" s="5" t="s">
        <v>30</v>
      </c>
    </row>
    <row r="10" customFormat="false" ht="15" hidden="false" customHeight="false" outlineLevel="0" collapsed="false">
      <c r="A10" s="2" t="s">
        <v>31</v>
      </c>
      <c r="B10" s="2" t="n">
        <v>5535</v>
      </c>
      <c r="C10" s="3" t="n">
        <v>50</v>
      </c>
      <c r="D10" s="3" t="n">
        <v>64.95</v>
      </c>
      <c r="E10" s="4" t="n">
        <f aca="false">(D10-C10)/C10</f>
        <v>0.299</v>
      </c>
      <c r="F10" s="5" t="s">
        <v>29</v>
      </c>
      <c r="G10" s="5" t="s">
        <v>32</v>
      </c>
    </row>
    <row r="11" customFormat="false" ht="15" hidden="false" customHeight="false" outlineLevel="0" collapsed="false">
      <c r="A11" s="2" t="s">
        <v>33</v>
      </c>
      <c r="B11" s="2" t="n">
        <v>5532</v>
      </c>
      <c r="C11" s="3" t="n">
        <v>50</v>
      </c>
      <c r="D11" s="3" t="n">
        <v>64.95</v>
      </c>
      <c r="E11" s="4" t="n">
        <f aca="false">(D11-C11)/C11</f>
        <v>0.299</v>
      </c>
      <c r="F11" s="5" t="s">
        <v>29</v>
      </c>
      <c r="G11" s="5" t="s">
        <v>32</v>
      </c>
    </row>
    <row r="12" customFormat="false" ht="23.85" hidden="false" customHeight="false" outlineLevel="0" collapsed="false">
      <c r="A12" s="2" t="s">
        <v>34</v>
      </c>
      <c r="B12" s="2" t="n">
        <v>425</v>
      </c>
      <c r="C12" s="3" t="n">
        <v>50</v>
      </c>
      <c r="D12" s="3" t="n">
        <v>29.95</v>
      </c>
      <c r="E12" s="4" t="n">
        <f aca="false">(D12-C12)/C12</f>
        <v>-0.401</v>
      </c>
      <c r="F12" s="5" t="s">
        <v>35</v>
      </c>
      <c r="G12" s="5" t="s">
        <v>36</v>
      </c>
    </row>
    <row r="13" customFormat="false" ht="23.85" hidden="false" customHeight="false" outlineLevel="0" collapsed="false">
      <c r="A13" s="2" t="s">
        <v>37</v>
      </c>
      <c r="B13" s="2" t="n">
        <v>448</v>
      </c>
      <c r="C13" s="3" t="n">
        <v>39.99</v>
      </c>
      <c r="D13" s="3" t="n">
        <v>29.95</v>
      </c>
      <c r="E13" s="4" t="n">
        <f aca="false">(D13-C13)/C13</f>
        <v>-0.251062765691423</v>
      </c>
      <c r="F13" s="5" t="s">
        <v>38</v>
      </c>
      <c r="G13" s="5" t="s">
        <v>39</v>
      </c>
    </row>
    <row r="14" customFormat="false" ht="15" hidden="false" customHeight="false" outlineLevel="0" collapsed="false">
      <c r="A14" s="2" t="s">
        <v>40</v>
      </c>
      <c r="B14" s="2" t="n">
        <v>456</v>
      </c>
      <c r="C14" s="3" t="n">
        <v>54.99</v>
      </c>
      <c r="D14" s="3" t="n">
        <v>39.95</v>
      </c>
      <c r="E14" s="4" t="n">
        <f aca="false">(D14-C14)/C14</f>
        <v>-0.273504273504274</v>
      </c>
      <c r="F14" s="5" t="s">
        <v>41</v>
      </c>
      <c r="G14" s="5" t="s">
        <v>42</v>
      </c>
    </row>
    <row r="15" customFormat="false" ht="15" hidden="false" customHeight="false" outlineLevel="0" collapsed="false">
      <c r="A15" s="2" t="s">
        <v>43</v>
      </c>
      <c r="B15" s="2" t="n">
        <v>455</v>
      </c>
      <c r="C15" s="3" t="n">
        <v>49.99</v>
      </c>
      <c r="D15" s="3" t="n">
        <v>29.95</v>
      </c>
      <c r="E15" s="4" t="n">
        <f aca="false">(D15-C15)/C15</f>
        <v>-0.400880176035207</v>
      </c>
      <c r="F15" s="5" t="s">
        <v>44</v>
      </c>
      <c r="G15" s="5" t="s">
        <v>45</v>
      </c>
    </row>
    <row r="16" customFormat="false" ht="15" hidden="false" customHeight="false" outlineLevel="0" collapsed="false">
      <c r="A16" s="2" t="s">
        <v>46</v>
      </c>
      <c r="B16" s="2" t="n">
        <v>453</v>
      </c>
      <c r="C16" s="3" t="n">
        <v>95</v>
      </c>
      <c r="D16" s="3" t="n">
        <v>95</v>
      </c>
      <c r="E16" s="4" t="n">
        <f aca="false">(D16-C16)/C16</f>
        <v>0</v>
      </c>
      <c r="F16" s="5" t="s">
        <v>47</v>
      </c>
      <c r="G16" s="5" t="s">
        <v>48</v>
      </c>
    </row>
    <row r="17" customFormat="false" ht="15" hidden="false" customHeight="false" outlineLevel="0" collapsed="false">
      <c r="A17" s="2" t="s">
        <v>49</v>
      </c>
      <c r="B17" s="2" t="n">
        <v>408</v>
      </c>
      <c r="C17" s="3" t="n">
        <v>50</v>
      </c>
      <c r="D17" s="3" t="n">
        <v>50</v>
      </c>
      <c r="E17" s="4" t="n">
        <f aca="false">(D17-C17)/C17</f>
        <v>0</v>
      </c>
      <c r="F17" s="5" t="s">
        <v>50</v>
      </c>
      <c r="G17" s="5" t="s">
        <v>51</v>
      </c>
    </row>
    <row r="18" customFormat="false" ht="15" hidden="false" customHeight="false" outlineLevel="0" collapsed="false">
      <c r="A18" s="2" t="s">
        <v>52</v>
      </c>
      <c r="B18" s="2" t="n">
        <v>362</v>
      </c>
      <c r="C18" s="3" t="n">
        <v>45</v>
      </c>
      <c r="D18" s="3" t="n">
        <v>39.95</v>
      </c>
      <c r="E18" s="4" t="n">
        <f aca="false">(D18-C18)/C18</f>
        <v>-0.112222222222222</v>
      </c>
      <c r="F18" s="5" t="s">
        <v>53</v>
      </c>
      <c r="G18" s="5" t="s">
        <v>54</v>
      </c>
    </row>
    <row r="20" customFormat="false" ht="15" hidden="false" customHeight="false" outlineLevel="0" collapsed="false">
      <c r="A20" s="6" t="s">
        <v>55</v>
      </c>
    </row>
    <row r="21" customFormat="false" ht="15" hidden="false" customHeight="false" outlineLevel="0" collapsed="false">
      <c r="A21" s="7" t="s">
        <v>56</v>
      </c>
    </row>
    <row r="22" customFormat="false" ht="15" hidden="false" customHeight="false" outlineLevel="0" collapsed="false">
      <c r="A22" s="7" t="s">
        <v>57</v>
      </c>
    </row>
    <row r="23" customFormat="false" ht="15" hidden="false" customHeight="false" outlineLevel="0" collapsed="false">
      <c r="A23" s="7" t="s">
        <v>58</v>
      </c>
    </row>
    <row r="24" customFormat="false" ht="15" hidden="false" customHeight="false" outlineLevel="0" collapsed="false">
      <c r="A24" s="7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2026-07-28T10:36:57Z</dcterms:created>
  <dc:creator>openpyxl</dc:creator>
  <dc:description/>
  <dc:language>en-US</dc:language>
  <cp:lastModifiedBy/>
  <dcterms:modified xsi:type="dcterms:W3CDTF">2026-07-28T10:36:57Z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